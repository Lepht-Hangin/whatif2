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thosgroup-my.sharepoint.com/personal/shuber_ethosgroup_com/Documents/Attachments/"/>
    </mc:Choice>
  </mc:AlternateContent>
  <xr:revisionPtr revIDLastSave="0" documentId="8_{E3E42616-FC84-413C-A3F7-0F014FF3F9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18" i="1"/>
  <c r="C6" i="1"/>
  <c r="H4" i="1"/>
  <c r="G5" i="1"/>
  <c r="C21" i="1"/>
  <c r="A3" i="1"/>
  <c r="E3" i="1" s="1"/>
  <c r="A6" i="1" s="1"/>
  <c r="E6" i="1" s="1"/>
  <c r="C12" i="1"/>
  <c r="A9" i="1"/>
  <c r="E9" i="1" s="1"/>
  <c r="A12" i="1" s="1"/>
  <c r="E12" i="1" l="1"/>
  <c r="A18" i="1" s="1"/>
  <c r="E18" i="1" s="1"/>
  <c r="A21" i="1" s="1"/>
  <c r="E21" i="1" s="1"/>
  <c r="A15" i="1" l="1"/>
  <c r="E15" i="1" s="1"/>
  <c r="A24" i="1"/>
  <c r="E24" i="1" s="1"/>
</calcChain>
</file>

<file path=xl/sharedStrings.xml><?xml version="1.0" encoding="utf-8"?>
<sst xmlns="http://schemas.openxmlformats.org/spreadsheetml/2006/main" count="50" uniqueCount="30">
  <si>
    <t>HOURS &amp; ELR INCREASE SHEET</t>
  </si>
  <si>
    <t>X</t>
  </si>
  <si>
    <t>=</t>
  </si>
  <si>
    <t>RO Count Per Month:</t>
  </si>
  <si>
    <t>C.P. Hours</t>
  </si>
  <si>
    <t>Desired C.P. ELR Increase</t>
  </si>
  <si>
    <t>Additional Sales $</t>
  </si>
  <si>
    <t>C.P. Hours:</t>
  </si>
  <si>
    <t>Hours Per RO</t>
  </si>
  <si>
    <t>Current ELR:</t>
  </si>
  <si>
    <t>Labor Gross Profit %</t>
  </si>
  <si>
    <t>Gross Profit from ELR Increase</t>
  </si>
  <si>
    <t>Parts Gross Profit:</t>
  </si>
  <si>
    <t>Parts to Labor Ratio:</t>
  </si>
  <si>
    <t>Labor Gross Profit:</t>
  </si>
  <si>
    <t>C.P. RO Count Per Month</t>
  </si>
  <si>
    <t>Desired Hours Per RO Increase</t>
  </si>
  <si>
    <t>Additional Hours Per Month</t>
  </si>
  <si>
    <t>Note:</t>
  </si>
  <si>
    <t>Set % as a decimal.</t>
  </si>
  <si>
    <t>C.P. ELR w/ Increase</t>
  </si>
  <si>
    <t>Additional Labor Sales $</t>
  </si>
  <si>
    <t>Labor Gross Profit $ (from Hours Increase)</t>
  </si>
  <si>
    <t>Parts to Labor Ratio</t>
  </si>
  <si>
    <t>Additional Parts Sales $</t>
  </si>
  <si>
    <t>Parts Gross Profit %</t>
  </si>
  <si>
    <t>Parts Gross Profit $</t>
  </si>
  <si>
    <t>Total Gross Profit (ELR, Hours, Parts</t>
  </si>
  <si>
    <t>Months</t>
  </si>
  <si>
    <t>Additional Gross Profit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</si>
</sst>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4">
    <font>
      <sz val="11"/>
      <color theme="1"/>
      <name val="Calibri"/>
      <family val="2"/>
      <scheme val="minor"/>
    </font>
    <font>
      <b/>
      <sz val="11"/>
      <color theme="3"/>
      <name val="Calibri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3" fillId="5" borderId="0" applyNumberFormat="0" applyBorder="0" applyAlignment="0" applyProtection="0"/>
    <xf numFmtId="0" fontId="2" fillId="6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top" wrapText="1"/>
    </xf>
    <xf numFmtId="0" fontId="1" fillId="0" borderId="1" xfId="1" applyFill="1" applyAlignment="1">
      <alignment horizontal="center" vertical="top" wrapText="1"/>
    </xf>
    <xf numFmtId="10" fontId="1" fillId="0" borderId="1" xfId="1" applyNumberFormat="1" applyFill="1" applyAlignment="1">
      <alignment horizontal="center" vertical="top" wrapText="1"/>
    </xf>
    <xf numFmtId="0" fontId="0" fillId="2" borderId="0" xfId="0" applyFill="1" applyAlignment="1">
      <alignment horizontal="right" vertical="center" wrapText="1"/>
    </xf>
    <xf numFmtId="0" fontId="0" fillId="3" borderId="0" xfId="0" applyFill="1" applyAlignment="1">
      <alignment horizontal="center" vertical="center" wrapText="1"/>
    </xf>
    <xf numFmtId="164" fontId="1" fillId="0" borderId="1" xfId="1" applyNumberFormat="1" applyFill="1" applyAlignment="1">
      <alignment horizontal="center" vertical="top" wrapText="1"/>
    </xf>
    <xf numFmtId="164" fontId="1" fillId="4" borderId="1" xfId="1" applyNumberFormat="1" applyFill="1" applyAlignment="1">
      <alignment horizontal="center" vertical="top" wrapText="1"/>
    </xf>
    <xf numFmtId="0" fontId="1" fillId="4" borderId="1" xfId="1" applyFill="1" applyAlignment="1">
      <alignment horizontal="center" vertical="top" wrapText="1"/>
    </xf>
    <xf numFmtId="9" fontId="0" fillId="3" borderId="0" xfId="0" applyNumberFormat="1" applyFill="1" applyAlignment="1">
      <alignment horizontal="center" vertical="center" wrapText="1"/>
    </xf>
    <xf numFmtId="9" fontId="0" fillId="0" borderId="0" xfId="0" applyNumberFormat="1" applyAlignment="1">
      <alignment horizontal="center" vertical="top" wrapText="1"/>
    </xf>
    <xf numFmtId="0" fontId="2" fillId="6" borderId="0" xfId="3" applyAlignment="1">
      <alignment horizontal="center" vertical="center" wrapText="1"/>
    </xf>
    <xf numFmtId="0" fontId="3" fillId="5" borderId="0" xfId="2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4">
    <cellStyle name="40% - Accent1" xfId="3" builtinId="31"/>
    <cellStyle name="Bad" xfId="2" builtinId="27"/>
    <cellStyle name="Heading 3" xfId="1" builtinId="1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H4" sqref="H4"/>
    </sheetView>
  </sheetViews>
  <sheetFormatPr defaultColWidth="21.42578125" defaultRowHeight="15"/>
  <cols>
    <col min="1" max="1" width="21.42578125" style="1"/>
    <col min="2" max="2" width="6.85546875" style="1" customWidth="1"/>
    <col min="3" max="3" width="24.140625" style="1" customWidth="1"/>
    <col min="4" max="4" width="6.85546875" style="1" customWidth="1"/>
    <col min="5" max="5" width="27.5703125" style="1" customWidth="1"/>
    <col min="6" max="16384" width="21.42578125" style="1"/>
  </cols>
  <sheetData>
    <row r="1" spans="1:8">
      <c r="A1" s="13" t="s">
        <v>0</v>
      </c>
      <c r="B1" s="13"/>
    </row>
    <row r="3" spans="1:8">
      <c r="A3" s="2">
        <f>G4</f>
        <v>1500</v>
      </c>
      <c r="B3" s="1" t="s">
        <v>1</v>
      </c>
      <c r="C3" s="7">
        <v>3</v>
      </c>
      <c r="D3" s="1" t="s">
        <v>2</v>
      </c>
      <c r="E3" s="6">
        <f>A3*C3</f>
        <v>4500</v>
      </c>
      <c r="F3" s="4" t="s">
        <v>3</v>
      </c>
      <c r="G3" s="5">
        <v>1250</v>
      </c>
      <c r="H3" s="11">
        <v>1250</v>
      </c>
    </row>
    <row r="4" spans="1:8" ht="15" customHeight="1">
      <c r="A4" s="1" t="s">
        <v>4</v>
      </c>
      <c r="C4" s="1" t="s">
        <v>5</v>
      </c>
      <c r="E4" s="1" t="s">
        <v>6</v>
      </c>
      <c r="F4" s="4" t="s">
        <v>7</v>
      </c>
      <c r="G4" s="5">
        <v>1500</v>
      </c>
      <c r="H4" s="12">
        <f>H3*H5</f>
        <v>1500</v>
      </c>
    </row>
    <row r="5" spans="1:8">
      <c r="F5" s="4" t="s">
        <v>8</v>
      </c>
      <c r="G5" s="12">
        <f>G4/G3</f>
        <v>1.2</v>
      </c>
      <c r="H5" s="11">
        <v>1.2</v>
      </c>
    </row>
    <row r="6" spans="1:8">
      <c r="A6" s="6">
        <f>E3</f>
        <v>4500</v>
      </c>
      <c r="B6" s="1" t="s">
        <v>1</v>
      </c>
      <c r="C6" s="3">
        <f>G9</f>
        <v>0.72</v>
      </c>
      <c r="D6" s="1" t="s">
        <v>2</v>
      </c>
      <c r="E6" s="6">
        <f>A6*C6</f>
        <v>3240</v>
      </c>
      <c r="F6" s="4" t="s">
        <v>9</v>
      </c>
      <c r="G6" s="5">
        <v>100</v>
      </c>
    </row>
    <row r="7" spans="1:8" ht="15" customHeight="1">
      <c r="A7" s="1" t="s">
        <v>6</v>
      </c>
      <c r="C7" s="1" t="s">
        <v>10</v>
      </c>
      <c r="E7" s="1" t="s">
        <v>11</v>
      </c>
      <c r="F7" s="4" t="s">
        <v>12</v>
      </c>
      <c r="G7" s="9">
        <v>0.38</v>
      </c>
      <c r="H7" s="10">
        <v>0.4</v>
      </c>
    </row>
    <row r="8" spans="1:8">
      <c r="F8" s="4" t="s">
        <v>13</v>
      </c>
      <c r="G8" s="9">
        <v>0.9</v>
      </c>
      <c r="H8" s="10">
        <v>0.8</v>
      </c>
    </row>
    <row r="9" spans="1:8">
      <c r="A9" s="2">
        <f>G3</f>
        <v>1250</v>
      </c>
      <c r="B9" s="1" t="s">
        <v>1</v>
      </c>
      <c r="C9" s="8">
        <v>0.3</v>
      </c>
      <c r="D9" s="1" t="s">
        <v>2</v>
      </c>
      <c r="E9" s="2">
        <f>A9*C9</f>
        <v>375</v>
      </c>
      <c r="F9" s="4" t="s">
        <v>14</v>
      </c>
      <c r="G9" s="9">
        <v>0.72</v>
      </c>
      <c r="H9" s="10">
        <v>0.8</v>
      </c>
    </row>
    <row r="10" spans="1:8" ht="30">
      <c r="A10" s="1" t="s">
        <v>15</v>
      </c>
      <c r="C10" s="1" t="s">
        <v>16</v>
      </c>
      <c r="E10" s="1" t="s">
        <v>17</v>
      </c>
    </row>
    <row r="11" spans="1:8">
      <c r="F11" s="1" t="s">
        <v>18</v>
      </c>
      <c r="G11" s="1" t="s">
        <v>19</v>
      </c>
    </row>
    <row r="12" spans="1:8">
      <c r="A12" s="2">
        <f>E9</f>
        <v>375</v>
      </c>
      <c r="B12" s="1" t="s">
        <v>1</v>
      </c>
      <c r="C12" s="2">
        <f>G6+C3</f>
        <v>103</v>
      </c>
      <c r="D12" s="1" t="s">
        <v>2</v>
      </c>
      <c r="E12" s="6">
        <f>A12*C12</f>
        <v>38625</v>
      </c>
    </row>
    <row r="13" spans="1:8" ht="30">
      <c r="A13" s="1" t="s">
        <v>17</v>
      </c>
      <c r="C13" s="1" t="s">
        <v>20</v>
      </c>
      <c r="E13" s="1" t="s">
        <v>21</v>
      </c>
    </row>
    <row r="15" spans="1:8">
      <c r="A15" s="6">
        <f>E12</f>
        <v>38625</v>
      </c>
      <c r="B15" s="1" t="s">
        <v>1</v>
      </c>
      <c r="C15" s="3">
        <f>G9</f>
        <v>0.72</v>
      </c>
      <c r="D15" s="1" t="s">
        <v>2</v>
      </c>
      <c r="E15" s="6">
        <f>A15*C15</f>
        <v>27810</v>
      </c>
    </row>
    <row r="16" spans="1:8" ht="30">
      <c r="A16" s="1" t="s">
        <v>21</v>
      </c>
      <c r="C16" s="1" t="s">
        <v>10</v>
      </c>
      <c r="E16" s="1" t="s">
        <v>22</v>
      </c>
    </row>
    <row r="18" spans="1:5">
      <c r="A18" s="6">
        <f>E12</f>
        <v>38625</v>
      </c>
      <c r="B18" s="1" t="s">
        <v>1</v>
      </c>
      <c r="C18" s="3">
        <f>G8</f>
        <v>0.9</v>
      </c>
      <c r="D18" s="1" t="s">
        <v>2</v>
      </c>
      <c r="E18" s="6">
        <f>A18*C18</f>
        <v>34762.5</v>
      </c>
    </row>
    <row r="19" spans="1:5" ht="15" customHeight="1">
      <c r="A19" s="1" t="s">
        <v>21</v>
      </c>
      <c r="C19" s="1" t="s">
        <v>23</v>
      </c>
      <c r="E19" s="1" t="s">
        <v>24</v>
      </c>
    </row>
    <row r="21" spans="1:5">
      <c r="A21" s="6">
        <f>E18</f>
        <v>34762.5</v>
      </c>
      <c r="B21" s="1" t="s">
        <v>1</v>
      </c>
      <c r="C21" s="3">
        <f>G7</f>
        <v>0.38</v>
      </c>
      <c r="D21" s="1" t="s">
        <v>2</v>
      </c>
      <c r="E21" s="6">
        <f>A21*C21</f>
        <v>13209.75</v>
      </c>
    </row>
    <row r="22" spans="1:5" ht="30">
      <c r="A22" s="1" t="s">
        <v>24</v>
      </c>
      <c r="C22" s="1" t="s">
        <v>25</v>
      </c>
      <c r="E22" s="1" t="s">
        <v>26</v>
      </c>
    </row>
    <row r="24" spans="1:5">
      <c r="A24" s="6">
        <f>E21+E15+E6</f>
        <v>44259.75</v>
      </c>
      <c r="B24" s="1" t="s">
        <v>1</v>
      </c>
      <c r="C24" s="2">
        <v>12</v>
      </c>
      <c r="D24" s="1" t="s">
        <v>2</v>
      </c>
      <c r="E24" s="6">
        <f>A24*C24</f>
        <v>531117</v>
      </c>
    </row>
    <row r="25" spans="1:5" ht="30">
      <c r="A25" s="1" t="s">
        <v>27</v>
      </c>
      <c r="C25" s="1" t="s">
        <v>28</v>
      </c>
      <c r="E25" s="1" t="s">
        <v>29</v>
      </c>
    </row>
    <row r="28" spans="1:5">
      <c r="A28"/>
      <c r="B28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2023-05-05T03:31:40Z</dcterms:created>
  <dcterms:modified xsi:type="dcterms:W3CDTF">2024-03-18T18:37:34Z</dcterms:modified>
  <cp:category/>
  <cp:contentStatus/>
</cp:coreProperties>
</file>